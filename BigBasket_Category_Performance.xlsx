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nthly Data" sheetId="1" state="visible" r:id="rId1"/>
    <sheet xmlns:r="http://schemas.openxmlformats.org/officeDocument/2006/relationships" name="Pivot Table 1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Category Targets" sheetId="4" state="visible" r:id="rId4"/>
  </sheets>
  <definedNames/>
  <calcPr calcId="124519" calcMode="auto" fullCalcOnLoad="1" forceFullCalc="1"/>
  <pivotCaches>
    <pivotCache xmlns:r="http://schemas.openxmlformats.org/officeDocument/2006/relationships" cacheId="0" r:id="rId5"/>
  </pivotCaches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00FF6666"/>
      </patternFill>
    </fill>
    <fill>
      <patternFill patternType="solid">
        <fgColor rgb="00F9E79F"/>
      </patternFill>
    </fill>
    <fill>
      <patternFill patternType="solid">
        <fgColor rgb="00B7E1CD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0" fontId="1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E37" sheet="Monthly Data"/>
  </cacheSource>
  <cacheFields count="5">
    <cacheField name="category" uniqueList="1" numFmtId="0" sqlType="0" hierarchy="0" level="0" databaseField="1">
      <sharedItems count="6">
        <s v="Bakery"/>
        <s v="Dairy &amp; Eggs"/>
        <s v="Fruits &amp; Vegetables"/>
        <s v="Household Essentials"/>
        <s v="Personal Care"/>
        <s v="Snacks &amp; Beverages"/>
      </sharedItems>
    </cacheField>
    <cacheField name="month" uniqueList="1" numFmtId="164" sqlType="0" hierarchy="0" level="0" databaseField="1">
      <sharedItems count="6" containsDate="1" containsSemiMixedTypes="0" containsString="0">
        <d v="2026-01-01T00:00:00"/>
        <d v="2026-02-01T00:00:00"/>
        <d v="2026-03-01T00:00:00"/>
        <d v="2026-04-01T00:00:00"/>
        <d v="2026-05-01T00:00:00"/>
        <d v="2026-06-01T00:00:00"/>
      </sharedItems>
    </cacheField>
    <cacheField name="order_count" uniqueList="1" numFmtId="0" sqlType="0" hierarchy="0" level="0" databaseField="1">
      <sharedItems count="12" containsInteger="1" containsNumber="1" containsSemiMixedTypes="0" containsString="0">
        <n v="6"/>
        <n v="8"/>
        <n v="11"/>
        <n v="13"/>
        <n v="15"/>
        <n v="14"/>
        <n v="9"/>
        <n v="12"/>
        <n v="10"/>
        <n v="16"/>
        <n v="17"/>
        <n v="19"/>
      </sharedItems>
    </cacheField>
    <cacheField name="total_revenue" uniqueList="1" numFmtId="0" sqlType="0" hierarchy="0" level="0" databaseField="1">
      <sharedItems count="35" containsInteger="1" containsNumber="1" containsSemiMixedTypes="0" containsString="0">
        <n v="735"/>
        <n v="2440"/>
        <n v="3090"/>
        <n v="3115"/>
        <n v="3695"/>
        <n v="2335"/>
        <n v="2035"/>
        <n v="1935"/>
        <n v="3163"/>
        <n v="1650"/>
        <n v="3479"/>
        <n v="1828"/>
        <n v="1290"/>
        <n v="2090"/>
        <n v="2080"/>
        <n v="1400"/>
        <n v="1870"/>
        <n v="1060"/>
        <n v="2099"/>
        <n v="5113"/>
        <n v="1885"/>
        <n v="5491"/>
        <n v="3477"/>
        <n v="3650"/>
        <n v="3608"/>
        <n v="2177"/>
        <n v="2807"/>
        <n v="1970"/>
        <n v="3045"/>
        <n v="2775"/>
        <n v="1330"/>
        <n v="1670"/>
        <n v="2980"/>
        <n v="1665"/>
        <n v="1960"/>
      </sharedItems>
    </cacheField>
    <cacheField name="avg_revenue" uniqueList="1" numFmtId="0" sqlType="0" hierarchy="0" level="0" databaseField="1">
      <sharedItems count="36" containsNumber="1" containsSemiMixedTypes="0" containsString="0">
        <n v="122.5"/>
        <n v="305"/>
        <n v="280.909090909091"/>
        <n v="239.615384615385"/>
        <n v="246.333333333333"/>
        <n v="166.785714285714"/>
        <n v="226.111111111111"/>
        <n v="241.875"/>
        <n v="210.866666666667"/>
        <n v="183.333333333333"/>
        <n v="248.5"/>
        <n v="166.181818181818"/>
        <n v="107.5"/>
        <n v="160.769230769231"/>
        <n v="160"/>
        <n v="100"/>
        <n v="155.833333333333"/>
        <n v="117.777777777778"/>
        <n v="209.9"/>
        <n v="319.5625"/>
        <n v="235.625"/>
        <n v="323"/>
        <n v="217.3125"/>
        <n v="304.166666666667"/>
        <n v="300.666666666667"/>
        <n v="272.125"/>
        <n v="255.181818181818"/>
        <n v="218.888888888889"/>
        <n v="234.230769230769"/>
        <n v="213.461538461538"/>
        <n v="129"/>
        <n v="120.909090909091"/>
        <n v="111.333333333333"/>
        <n v="156.842105263158"/>
        <n v="128.076923076923"/>
        <n v="130.666666666667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 Table 1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C8" firstHeaderRow="0" firstDataRow="2" firstDataCol="0"/>
  <pivotFields count="5">
    <pivotField name="category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name="month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name="order_count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name="total_revenue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3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efault" sd="1"/>
      </items>
    </pivotField>
    <pivotField name="avg_revenue" showDropDowns="1" compact="0" outline="0" subtotalTop="1" dragToRow="1" dragToCol="1" multipleItemSelectionAllowed="1" dragToPage="1" dragToData="1" dragOff="1" showAll="0" topAutoShow="1" itemPageCount="10" sortType="manual" defaultSubtotal="1">
      <items count="3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efault" sd="1"/>
      </items>
    </pivotField>
  </pivotFields>
  <rowFields count="1">
    <field x="0"/>
  </rowFields>
  <colFields count="1">
    <field x="-2"/>
  </colFields>
  <dataFields count="2">
    <dataField name="SUM of total_revenue" fld="3" subtotal="sum" showDataAs="normal" baseField="0" baseItem="1048832"/>
    <dataField name="SUM of order_count" fld="2" subtotal="sum" showDataAs="normal" baseField="0" baseItem="1048832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" t="inlineStr">
        <is>
          <t>category</t>
        </is>
      </c>
      <c r="B1" s="5" t="inlineStr">
        <is>
          <t>month</t>
        </is>
      </c>
      <c r="C1" s="5" t="inlineStr">
        <is>
          <t>order_count</t>
        </is>
      </c>
      <c r="D1" s="5" t="inlineStr">
        <is>
          <t>total_revenue</t>
        </is>
      </c>
      <c r="E1" s="5" t="inlineStr">
        <is>
          <t>avg_revenue</t>
        </is>
      </c>
    </row>
    <row r="2">
      <c r="A2" s="5" t="inlineStr">
        <is>
          <t>Bakery</t>
        </is>
      </c>
      <c r="B2" s="4" t="n">
        <v>46023</v>
      </c>
      <c r="C2" s="5" t="n">
        <v>6</v>
      </c>
      <c r="D2" s="5" t="n">
        <v>735</v>
      </c>
      <c r="E2" s="5" t="n">
        <v>122.5</v>
      </c>
    </row>
    <row r="3">
      <c r="A3" s="5" t="inlineStr">
        <is>
          <t>Bakery</t>
        </is>
      </c>
      <c r="B3" s="4" t="n">
        <v>46054</v>
      </c>
      <c r="C3" s="5" t="n">
        <v>8</v>
      </c>
      <c r="D3" s="5" t="n">
        <v>2440</v>
      </c>
      <c r="E3" s="5" t="n">
        <v>305</v>
      </c>
    </row>
    <row r="4">
      <c r="A4" s="5" t="inlineStr">
        <is>
          <t>Bakery</t>
        </is>
      </c>
      <c r="B4" s="4" t="n">
        <v>46082</v>
      </c>
      <c r="C4" s="5" t="n">
        <v>11</v>
      </c>
      <c r="D4" s="5" t="n">
        <v>3090</v>
      </c>
      <c r="E4" s="5" t="n">
        <v>280.909090909091</v>
      </c>
    </row>
    <row r="5">
      <c r="A5" s="5" t="inlineStr">
        <is>
          <t>Bakery</t>
        </is>
      </c>
      <c r="B5" s="4" t="n">
        <v>46113</v>
      </c>
      <c r="C5" s="5" t="n">
        <v>13</v>
      </c>
      <c r="D5" s="5" t="n">
        <v>3115</v>
      </c>
      <c r="E5" s="5" t="n">
        <v>239.615384615385</v>
      </c>
    </row>
    <row r="6">
      <c r="A6" s="5" t="inlineStr">
        <is>
          <t>Bakery</t>
        </is>
      </c>
      <c r="B6" s="4" t="n">
        <v>46143</v>
      </c>
      <c r="C6" s="5" t="n">
        <v>15</v>
      </c>
      <c r="D6" s="5" t="n">
        <v>3695</v>
      </c>
      <c r="E6" s="5" t="n">
        <v>246.333333333333</v>
      </c>
    </row>
    <row r="7">
      <c r="A7" s="5" t="inlineStr">
        <is>
          <t>Bakery</t>
        </is>
      </c>
      <c r="B7" s="4" t="n">
        <v>46174</v>
      </c>
      <c r="C7" s="5" t="n">
        <v>14</v>
      </c>
      <c r="D7" s="5" t="n">
        <v>2335</v>
      </c>
      <c r="E7" s="5" t="n">
        <v>166.785714285714</v>
      </c>
    </row>
    <row r="8">
      <c r="A8" s="5" t="inlineStr">
        <is>
          <t>Dairy &amp; Eggs</t>
        </is>
      </c>
      <c r="B8" s="4" t="n">
        <v>46023</v>
      </c>
      <c r="C8" s="5" t="n">
        <v>9</v>
      </c>
      <c r="D8" s="5" t="n">
        <v>2035</v>
      </c>
      <c r="E8" s="5" t="n">
        <v>226.111111111111</v>
      </c>
    </row>
    <row r="9">
      <c r="A9" s="5" t="inlineStr">
        <is>
          <t>Dairy &amp; Eggs</t>
        </is>
      </c>
      <c r="B9" s="4" t="n">
        <v>46054</v>
      </c>
      <c r="C9" s="5" t="n">
        <v>8</v>
      </c>
      <c r="D9" s="5" t="n">
        <v>1935</v>
      </c>
      <c r="E9" s="5" t="n">
        <v>241.875</v>
      </c>
    </row>
    <row r="10">
      <c r="A10" s="5" t="inlineStr">
        <is>
          <t>Dairy &amp; Eggs</t>
        </is>
      </c>
      <c r="B10" s="4" t="n">
        <v>46082</v>
      </c>
      <c r="C10" s="5" t="n">
        <v>15</v>
      </c>
      <c r="D10" s="5" t="n">
        <v>3163</v>
      </c>
      <c r="E10" s="5" t="n">
        <v>210.866666666667</v>
      </c>
    </row>
    <row r="11">
      <c r="A11" s="5" t="inlineStr">
        <is>
          <t>Dairy &amp; Eggs</t>
        </is>
      </c>
      <c r="B11" s="4" t="n">
        <v>46113</v>
      </c>
      <c r="C11" s="5" t="n">
        <v>9</v>
      </c>
      <c r="D11" s="5" t="n">
        <v>1650</v>
      </c>
      <c r="E11" s="5" t="n">
        <v>183.333333333333</v>
      </c>
    </row>
    <row r="12">
      <c r="A12" s="5" t="inlineStr">
        <is>
          <t>Dairy &amp; Eggs</t>
        </is>
      </c>
      <c r="B12" s="4" t="n">
        <v>46143</v>
      </c>
      <c r="C12" s="5" t="n">
        <v>14</v>
      </c>
      <c r="D12" s="5" t="n">
        <v>3479</v>
      </c>
      <c r="E12" s="5" t="n">
        <v>248.5</v>
      </c>
    </row>
    <row r="13">
      <c r="A13" s="5" t="inlineStr">
        <is>
          <t>Dairy &amp; Eggs</t>
        </is>
      </c>
      <c r="B13" s="4" t="n">
        <v>46174</v>
      </c>
      <c r="C13" s="5" t="n">
        <v>11</v>
      </c>
      <c r="D13" s="5" t="n">
        <v>1828</v>
      </c>
      <c r="E13" s="5" t="n">
        <v>166.181818181818</v>
      </c>
    </row>
    <row r="14">
      <c r="A14" s="5" t="inlineStr">
        <is>
          <t>Fruits &amp; Vegetables</t>
        </is>
      </c>
      <c r="B14" s="4" t="n">
        <v>46023</v>
      </c>
      <c r="C14" s="5" t="n">
        <v>12</v>
      </c>
      <c r="D14" s="5" t="n">
        <v>1290</v>
      </c>
      <c r="E14" s="5" t="n">
        <v>107.5</v>
      </c>
    </row>
    <row r="15">
      <c r="A15" s="5" t="inlineStr">
        <is>
          <t>Fruits &amp; Vegetables</t>
        </is>
      </c>
      <c r="B15" s="4" t="n">
        <v>46054</v>
      </c>
      <c r="C15" s="5" t="n">
        <v>13</v>
      </c>
      <c r="D15" s="5" t="n">
        <v>2090</v>
      </c>
      <c r="E15" s="5" t="n">
        <v>160.769230769231</v>
      </c>
    </row>
    <row r="16">
      <c r="A16" s="5" t="inlineStr">
        <is>
          <t>Fruits &amp; Vegetables</t>
        </is>
      </c>
      <c r="B16" s="4" t="n">
        <v>46082</v>
      </c>
      <c r="C16" s="5" t="n">
        <v>13</v>
      </c>
      <c r="D16" s="5" t="n">
        <v>2080</v>
      </c>
      <c r="E16" s="5" t="n">
        <v>160</v>
      </c>
    </row>
    <row r="17">
      <c r="A17" s="5" t="inlineStr">
        <is>
          <t>Fruits &amp; Vegetables</t>
        </is>
      </c>
      <c r="B17" s="4" t="n">
        <v>46113</v>
      </c>
      <c r="C17" s="5" t="n">
        <v>14</v>
      </c>
      <c r="D17" s="5" t="n">
        <v>1400</v>
      </c>
      <c r="E17" s="5" t="n">
        <v>100</v>
      </c>
    </row>
    <row r="18">
      <c r="A18" s="5" t="inlineStr">
        <is>
          <t>Fruits &amp; Vegetables</t>
        </is>
      </c>
      <c r="B18" s="4" t="n">
        <v>46143</v>
      </c>
      <c r="C18" s="5" t="n">
        <v>12</v>
      </c>
      <c r="D18" s="5" t="n">
        <v>1870</v>
      </c>
      <c r="E18" s="5" t="n">
        <v>155.833333333333</v>
      </c>
    </row>
    <row r="19">
      <c r="A19" s="5" t="inlineStr">
        <is>
          <t>Fruits &amp; Vegetables</t>
        </is>
      </c>
      <c r="B19" s="4" t="n">
        <v>46174</v>
      </c>
      <c r="C19" s="5" t="n">
        <v>9</v>
      </c>
      <c r="D19" s="5" t="n">
        <v>1060</v>
      </c>
      <c r="E19" s="5" t="n">
        <v>117.777777777778</v>
      </c>
    </row>
    <row r="20">
      <c r="A20" s="5" t="inlineStr">
        <is>
          <t>Household Essentials</t>
        </is>
      </c>
      <c r="B20" s="4" t="n">
        <v>46023</v>
      </c>
      <c r="C20" s="5" t="n">
        <v>10</v>
      </c>
      <c r="D20" s="5" t="n">
        <v>2099</v>
      </c>
      <c r="E20" s="5" t="n">
        <v>209.9</v>
      </c>
    </row>
    <row r="21">
      <c r="A21" s="5" t="inlineStr">
        <is>
          <t>Household Essentials</t>
        </is>
      </c>
      <c r="B21" s="4" t="n">
        <v>46054</v>
      </c>
      <c r="C21" s="5" t="n">
        <v>16</v>
      </c>
      <c r="D21" s="5" t="n">
        <v>5113</v>
      </c>
      <c r="E21" s="5" t="n">
        <v>319.5625</v>
      </c>
    </row>
    <row r="22">
      <c r="A22" s="5" t="inlineStr">
        <is>
          <t>Household Essentials</t>
        </is>
      </c>
      <c r="B22" s="4" t="n">
        <v>46082</v>
      </c>
      <c r="C22" s="5" t="n">
        <v>8</v>
      </c>
      <c r="D22" s="5" t="n">
        <v>1885</v>
      </c>
      <c r="E22" s="5" t="n">
        <v>235.625</v>
      </c>
    </row>
    <row r="23">
      <c r="A23" s="5" t="inlineStr">
        <is>
          <t>Household Essentials</t>
        </is>
      </c>
      <c r="B23" s="4" t="n">
        <v>46113</v>
      </c>
      <c r="C23" s="5" t="n">
        <v>17</v>
      </c>
      <c r="D23" s="5" t="n">
        <v>5491</v>
      </c>
      <c r="E23" s="5" t="n">
        <v>323</v>
      </c>
    </row>
    <row r="24">
      <c r="A24" s="5" t="inlineStr">
        <is>
          <t>Household Essentials</t>
        </is>
      </c>
      <c r="B24" s="4" t="n">
        <v>46143</v>
      </c>
      <c r="C24" s="5" t="n">
        <v>16</v>
      </c>
      <c r="D24" s="5" t="n">
        <v>3477</v>
      </c>
      <c r="E24" s="5" t="n">
        <v>217.3125</v>
      </c>
    </row>
    <row r="25">
      <c r="A25" s="5" t="inlineStr">
        <is>
          <t>Household Essentials</t>
        </is>
      </c>
      <c r="B25" s="4" t="n">
        <v>46174</v>
      </c>
      <c r="C25" s="5" t="n">
        <v>12</v>
      </c>
      <c r="D25" s="5" t="n">
        <v>3650</v>
      </c>
      <c r="E25" s="5" t="n">
        <v>304.166666666667</v>
      </c>
    </row>
    <row r="26">
      <c r="A26" s="5" t="inlineStr">
        <is>
          <t>Personal Care</t>
        </is>
      </c>
      <c r="B26" s="4" t="n">
        <v>46023</v>
      </c>
      <c r="C26" s="5" t="n">
        <v>12</v>
      </c>
      <c r="D26" s="5" t="n">
        <v>3608</v>
      </c>
      <c r="E26" s="5" t="n">
        <v>300.666666666667</v>
      </c>
    </row>
    <row r="27">
      <c r="A27" s="5" t="inlineStr">
        <is>
          <t>Personal Care</t>
        </is>
      </c>
      <c r="B27" s="4" t="n">
        <v>46054</v>
      </c>
      <c r="C27" s="5" t="n">
        <v>8</v>
      </c>
      <c r="D27" s="5" t="n">
        <v>2177</v>
      </c>
      <c r="E27" s="5" t="n">
        <v>272.125</v>
      </c>
    </row>
    <row r="28">
      <c r="A28" s="5" t="inlineStr">
        <is>
          <t>Personal Care</t>
        </is>
      </c>
      <c r="B28" s="4" t="n">
        <v>46082</v>
      </c>
      <c r="C28" s="5" t="n">
        <v>11</v>
      </c>
      <c r="D28" s="5" t="n">
        <v>2807</v>
      </c>
      <c r="E28" s="5" t="n">
        <v>255.181818181818</v>
      </c>
    </row>
    <row r="29">
      <c r="A29" s="5" t="inlineStr">
        <is>
          <t>Personal Care</t>
        </is>
      </c>
      <c r="B29" s="4" t="n">
        <v>46113</v>
      </c>
      <c r="C29" s="5" t="n">
        <v>9</v>
      </c>
      <c r="D29" s="5" t="n">
        <v>1970</v>
      </c>
      <c r="E29" s="5" t="n">
        <v>218.888888888889</v>
      </c>
    </row>
    <row r="30">
      <c r="A30" s="5" t="inlineStr">
        <is>
          <t>Personal Care</t>
        </is>
      </c>
      <c r="B30" s="4" t="n">
        <v>46143</v>
      </c>
      <c r="C30" s="5" t="n">
        <v>13</v>
      </c>
      <c r="D30" s="5" t="n">
        <v>3045</v>
      </c>
      <c r="E30" s="5" t="n">
        <v>234.230769230769</v>
      </c>
    </row>
    <row r="31">
      <c r="A31" s="5" t="inlineStr">
        <is>
          <t>Personal Care</t>
        </is>
      </c>
      <c r="B31" s="4" t="n">
        <v>46174</v>
      </c>
      <c r="C31" s="5" t="n">
        <v>13</v>
      </c>
      <c r="D31" s="5" t="n">
        <v>2775</v>
      </c>
      <c r="E31" s="5" t="n">
        <v>213.461538461538</v>
      </c>
    </row>
    <row r="32">
      <c r="A32" s="5" t="inlineStr">
        <is>
          <t>Snacks &amp; Beverages</t>
        </is>
      </c>
      <c r="B32" s="4" t="n">
        <v>46023</v>
      </c>
      <c r="C32" s="5" t="n">
        <v>10</v>
      </c>
      <c r="D32" s="5" t="n">
        <v>1290</v>
      </c>
      <c r="E32" s="5" t="n">
        <v>129</v>
      </c>
    </row>
    <row r="33">
      <c r="A33" s="5" t="inlineStr">
        <is>
          <t>Snacks &amp; Beverages</t>
        </is>
      </c>
      <c r="B33" s="4" t="n">
        <v>46054</v>
      </c>
      <c r="C33" s="5" t="n">
        <v>11</v>
      </c>
      <c r="D33" s="5" t="n">
        <v>1330</v>
      </c>
      <c r="E33" s="5" t="n">
        <v>120.909090909091</v>
      </c>
    </row>
    <row r="34">
      <c r="A34" s="5" t="inlineStr">
        <is>
          <t>Snacks &amp; Beverages</t>
        </is>
      </c>
      <c r="B34" s="4" t="n">
        <v>46082</v>
      </c>
      <c r="C34" s="5" t="n">
        <v>15</v>
      </c>
      <c r="D34" s="5" t="n">
        <v>1670</v>
      </c>
      <c r="E34" s="5" t="n">
        <v>111.333333333333</v>
      </c>
    </row>
    <row r="35">
      <c r="A35" s="5" t="inlineStr">
        <is>
          <t>Snacks &amp; Beverages</t>
        </is>
      </c>
      <c r="B35" s="4" t="n">
        <v>46113</v>
      </c>
      <c r="C35" s="5" t="n">
        <v>19</v>
      </c>
      <c r="D35" s="5" t="n">
        <v>2980</v>
      </c>
      <c r="E35" s="5" t="n">
        <v>156.842105263158</v>
      </c>
    </row>
    <row r="36">
      <c r="A36" s="5" t="inlineStr">
        <is>
          <t>Snacks &amp; Beverages</t>
        </is>
      </c>
      <c r="B36" s="4" t="n">
        <v>46143</v>
      </c>
      <c r="C36" s="5" t="n">
        <v>13</v>
      </c>
      <c r="D36" s="5" t="n">
        <v>1665</v>
      </c>
      <c r="E36" s="5" t="n">
        <v>128.076923076923</v>
      </c>
    </row>
    <row r="37">
      <c r="A37" s="5" t="inlineStr">
        <is>
          <t>Snacks &amp; Beverages</t>
        </is>
      </c>
      <c r="B37" s="4" t="n">
        <v>46174</v>
      </c>
      <c r="C37" s="5" t="n">
        <v>15</v>
      </c>
      <c r="D37" s="5" t="n">
        <v>1960</v>
      </c>
      <c r="E37" s="5" t="n">
        <v>130.666666666667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7.13" customWidth="1" style="7" min="2" max="2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7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7" min="1" max="1"/>
    <col width="14.75" customWidth="1" style="7" min="3" max="3"/>
    <col width="17.63" customWidth="1" style="7" min="6" max="6"/>
    <col width="21.25" customWidth="1" style="7" min="7" max="7"/>
  </cols>
  <sheetData>
    <row r="1">
      <c r="A1" s="3" t="inlineStr">
        <is>
          <t>Category</t>
        </is>
      </c>
      <c r="B1" s="3" t="inlineStr">
        <is>
          <t>Total Revenue</t>
        </is>
      </c>
      <c r="C1" s="3" t="inlineStr">
        <is>
          <t>Target Revenue</t>
        </is>
      </c>
      <c r="D1" s="3" t="inlineStr">
        <is>
          <t>Variance</t>
        </is>
      </c>
      <c r="E1" s="3" t="inlineStr">
        <is>
          <t>% Variance</t>
        </is>
      </c>
      <c r="F1" s="3" t="inlineStr">
        <is>
          <t>Target Status</t>
        </is>
      </c>
      <c r="G1" s="3" t="inlineStr">
        <is>
          <t>Matches Part 1 SQL total?</t>
        </is>
      </c>
    </row>
    <row r="2">
      <c r="A2" s="5" t="inlineStr">
        <is>
          <t>Fruits &amp; Vegetables</t>
        </is>
      </c>
      <c r="B2" s="5">
        <f>SUMIF('Monthly Data'!$A:$A,A2,'Monthly Data'!$D:$D)</f>
        <v/>
      </c>
      <c r="C2" s="5">
        <f t="array" ref="C2">_xlfn.XLOOKUP(A2,'Category Targets'!A:A,'Category Targets'!B:B,"Not Found")</f>
        <v/>
      </c>
      <c r="D2" s="5">
        <f>C2-B2</f>
        <v/>
      </c>
      <c r="E2" s="6">
        <f>(B2-C2)/C2</f>
        <v/>
      </c>
      <c r="F2" s="8">
        <f>IF(B2&gt;=C2,"Above Target",IF((C2-B2)/C2&lt;=15%,"Below Target - Watch","Below Target - Critical"))</f>
        <v/>
      </c>
      <c r="G2" s="5">
        <f>IF(B2=9790,"Yes","No")</f>
        <v/>
      </c>
    </row>
    <row r="3">
      <c r="A3" s="5" t="inlineStr">
        <is>
          <t>Dairy &amp; Eggs</t>
        </is>
      </c>
      <c r="B3" s="5">
        <f>SUMIF('Monthly Data'!$A:$A,A3,'Monthly Data'!$D:$D)</f>
        <v/>
      </c>
      <c r="C3" s="5">
        <f t="array" ref="C3">_xlfn.XLOOKUP(A3,'Category Targets'!A:A,'Category Targets'!B:B,"Not Found")</f>
        <v/>
      </c>
      <c r="D3" s="5">
        <f>C3-B3</f>
        <v/>
      </c>
      <c r="E3" s="6">
        <f>(B3-C3)/C3</f>
        <v/>
      </c>
      <c r="F3" s="9">
        <f>IF(B3&gt;=C3,"Above Target",IF((C3-B3)/C3&lt;=15%,"Below Target - Watch","Below Target - Critical"))</f>
        <v/>
      </c>
      <c r="G3" s="5">
        <f>IF(B3=14090,"Yes","No")</f>
        <v/>
      </c>
    </row>
    <row r="4">
      <c r="A4" s="5" t="inlineStr">
        <is>
          <t>Snacks &amp; Beverages</t>
        </is>
      </c>
      <c r="B4" s="5">
        <f>SUMIF('Monthly Data'!$A:$A,A4,'Monthly Data'!$D:$D)</f>
        <v/>
      </c>
      <c r="C4" s="5">
        <f t="array" ref="C4">_xlfn.XLOOKUP(A4,'Category Targets'!A:A,'Category Targets'!B:B,"Not Found")</f>
        <v/>
      </c>
      <c r="D4" s="5">
        <f>C4-B4</f>
        <v/>
      </c>
      <c r="E4" s="6">
        <f>(B4-C4)/C4</f>
        <v/>
      </c>
      <c r="F4" s="8">
        <f>IF(B4&gt;=C4,"Above Target",IF((C4-B4)/C4&lt;=15%,"Below Target - Watch","Below Target - Critical"))</f>
        <v/>
      </c>
      <c r="G4" s="5">
        <f>IF(B4=10895,"Yes","No")</f>
        <v/>
      </c>
    </row>
    <row r="5">
      <c r="A5" s="5" t="inlineStr">
        <is>
          <t>Personal Care</t>
        </is>
      </c>
      <c r="B5" s="5">
        <f>SUMIF('Monthly Data'!$A:$A,A5,'Monthly Data'!$D:$D)</f>
        <v/>
      </c>
      <c r="C5" s="5">
        <f t="array" ref="C5">_xlfn.XLOOKUP(A5,'Category Targets'!A:A,'Category Targets'!B:B,"Not Found")</f>
        <v/>
      </c>
      <c r="D5" s="5">
        <f>C5-B5</f>
        <v/>
      </c>
      <c r="E5" s="6">
        <f>(B5-C5)/C5</f>
        <v/>
      </c>
      <c r="F5" s="10">
        <f>IF(B5&gt;=C5,"Above Target",IF((C5-B5)/C5&lt;=15%,"Below Target - Watch","Below Target - Critical"))</f>
        <v/>
      </c>
      <c r="G5" s="5">
        <f>IF(B5=16382,"Yes","No")</f>
        <v/>
      </c>
    </row>
    <row r="6">
      <c r="A6" s="5" t="inlineStr">
        <is>
          <t>Household Essentials</t>
        </is>
      </c>
      <c r="B6" s="5">
        <f>SUMIF('Monthly Data'!$A:$A,A6,'Monthly Data'!$D:$D)</f>
        <v/>
      </c>
      <c r="C6" s="5">
        <f t="array" ref="C6">_xlfn.XLOOKUP(A6,'Category Targets'!A:A,'Category Targets'!B:B,"Not Found")</f>
        <v/>
      </c>
      <c r="D6" s="5">
        <f>C6-B6</f>
        <v/>
      </c>
      <c r="E6" s="6">
        <f>(B6-C6)/C6</f>
        <v/>
      </c>
      <c r="F6" s="10">
        <f>IF(B6&gt;=C6,"Above Target",IF((C6-B6)/C6&lt;=15%,"Below Target - Watch","Below Target - Critical"))</f>
        <v/>
      </c>
      <c r="G6" s="5">
        <f>IF(B6=21715,"Yes","No")</f>
        <v/>
      </c>
    </row>
    <row r="7">
      <c r="A7" s="5" t="inlineStr">
        <is>
          <t>Bakery</t>
        </is>
      </c>
      <c r="B7" s="5">
        <f>SUMIF('Monthly Data'!$A:$A,A7,'Monthly Data'!$D:$D)</f>
        <v/>
      </c>
      <c r="C7" s="5">
        <f t="array" ref="C7">_xlfn.XLOOKUP(A7,'Category Targets'!A:A,'Category Targets'!B:B,"Not Found")</f>
        <v/>
      </c>
      <c r="D7" s="5">
        <f>C7-B7</f>
        <v/>
      </c>
      <c r="E7" s="6">
        <f>(B7-C7)/C7</f>
        <v/>
      </c>
      <c r="F7" s="10">
        <f>IF(B7&gt;=C7,"Above Target",IF((C7-B7)/C7&lt;=15%,"Below Target - Watch","Below Target - Critical"))</f>
        <v/>
      </c>
      <c r="G7" s="5">
        <f>IF(B7=15410,"Yes","No")</f>
        <v/>
      </c>
    </row>
  </sheetData>
  <conditionalFormatting sqref="F2:F7">
    <cfRule type="cellIs" priority="1" operator="equal" dxfId="0">
      <formula>"Above Target"</formula>
    </cfRule>
    <cfRule type="cellIs" priority="2" operator="equal" dxfId="1">
      <formula>"Below Target - Watch"</formula>
    </cfRule>
    <cfRule type="cellIs" priority="3" operator="equal" dxfId="2">
      <formula>"Below Target - Critical"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63" defaultRowHeight="15.75" customHeight="1"/>
  <cols>
    <col width="16.63" customWidth="1" style="7" min="1" max="1"/>
    <col width="16.38" customWidth="1" style="7" min="2" max="2"/>
  </cols>
  <sheetData>
    <row r="1">
      <c r="A1" s="2" t="inlineStr">
        <is>
          <t>category</t>
        </is>
      </c>
      <c r="B1" s="3" t="inlineStr">
        <is>
          <t>target_revenue_inr</t>
        </is>
      </c>
    </row>
    <row r="2">
      <c r="A2" s="5" t="inlineStr">
        <is>
          <t>Fruits &amp; Vegetables</t>
        </is>
      </c>
      <c r="B2" s="5" t="n">
        <v>12000</v>
      </c>
    </row>
    <row r="3">
      <c r="A3" s="5" t="inlineStr">
        <is>
          <t>Dairy &amp; Eggs</t>
        </is>
      </c>
      <c r="B3" s="5" t="n">
        <v>16500</v>
      </c>
    </row>
    <row r="4">
      <c r="A4" s="5" t="inlineStr">
        <is>
          <t>Snacks &amp; Beverages</t>
        </is>
      </c>
      <c r="B4" s="5" t="n">
        <v>13000</v>
      </c>
    </row>
    <row r="5">
      <c r="A5" s="5" t="inlineStr">
        <is>
          <t>Personal Care</t>
        </is>
      </c>
      <c r="B5" s="5" t="n">
        <v>15500</v>
      </c>
    </row>
    <row r="6">
      <c r="A6" s="5" t="inlineStr">
        <is>
          <t>Household Essentials</t>
        </is>
      </c>
      <c r="B6" s="5" t="n">
        <v>17000</v>
      </c>
    </row>
    <row r="7">
      <c r="A7" s="5" t="inlineStr">
        <is>
          <t>Bakery</t>
        </is>
      </c>
      <c r="B7" s="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2026-09-15T12:11:22Z</dcterms:created>
  <dcterms:modified xmlns:dcterms="http://purl.org/dc/terms/" xmlns:xsi="http://www.w3.org/2001/XMLSchema-instance" xsi:type="dcterms:W3CDTF">2026-09-15T12:13:57Z</dcterms:modified>
</cp:coreProperties>
</file>